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8f82ff8fa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성집행서" sheetId="1" r:id="Rfb82dca0741d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,##0&quot;원&quot;;[Red](#,##0&quot;원&quot;);-"/>
    <x:numFmt numFmtId="165" formatCode="0.0%"/>
  </x:numFmts>
  <x:fonts count="5">
    <x:font>
      <x:sz val="10"/>
      <x:name val="맑은 고딕"/>
    </x:font>
    <x:font>
      <x:b/>
      <x:sz val="20"/>
      <x:color rgb="FF102042"/>
      <x:name val="맑은 고딕"/>
    </x:font>
    <x:font>
      <x:b/>
      <x:sz val="10"/>
      <x:color rgb="FFFFFFFF"/>
      <x:name val="맑은 고딕"/>
    </x:font>
    <x:font>
      <x:b/>
      <x:sz val="10"/>
      <x:color rgb="FF172033"/>
      <x:name val="맑은 고딕"/>
    </x:font>
    <x:font>
      <x:sz val="9"/>
      <x:color rgb="FF64748B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02042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8EEF7"/>
      </x:patternFill>
    </x:fill>
    <x:fill>
      <x:patternFill patternType="solid">
        <x:fgColor rgb="FFDCE6F4"/>
      </x:patternFill>
    </x:fill>
  </x:fills>
  <x:borders count="5">
    <x:border/>
    <x:border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B8C4D6"/>
      </x:left>
      <x:right style="thin">
        <x:color rgb="FFB8C4D6"/>
      </x:right>
      <x:top style="medium">
        <x:color rgb="FF7890B0"/>
      </x:top>
      <x:bottom style="thin">
        <x:color rgb="FFB8C4D6"/>
      </x:bottom>
    </x:border>
    <x:border>
      <x:top style="medium">
        <x:color rgb="FF102042"/>
      </x:top>
      <x:bottom style="double">
        <x:color rgb="FF102042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Alignment="1">
      <x:alignment horizontal="center" vertical="center"/>
    </x:xf>
    <x:xf numFmtId="0" fontId="4" fillId="0" borderId="0" xfId="0" applyAlignment="1">
      <x:alignment horizontal="left" vertical="center"/>
    </x:xf>
    <x:xf numFmtId="0" fontId="2" fillId="2" borderId="2" xfId="0" applyAlignment="1">
      <x:alignment horizontal="center" vertical="center"/>
    </x:xf>
    <x:xf numFmtId="164" fontId="3" fillId="3" borderId="2" xfId="0" applyNumberFormat="1" applyAlignment="1">
      <x:alignment horizontal="center" vertical="center"/>
    </x:xf>
    <x:xf numFmtId="165" fontId="3" fillId="3" borderId="2" xfId="0" applyNumberFormat="1" applyAlignment="1">
      <x:alignment horizontal="center" vertical="center"/>
    </x:xf>
    <x:xf numFmtId="0" fontId="2" fillId="2" borderId="2" xfId="0" applyAlignment="1">
      <x:alignment horizontal="center" vertical="center" wrapText="1"/>
    </x:xf>
    <x:xf numFmtId="0" fontId="3" fillId="4" borderId="2" xfId="0" applyAlignment="1">
      <x:alignment horizontal="center" vertical="center" wrapText="1"/>
    </x:xf>
    <x:xf numFmtId="0" fontId="0" fillId="0" borderId="2" xfId="0" applyAlignment="1">
      <x:alignment horizontal="left" vertical="center" wrapText="1"/>
    </x:xf>
    <x:xf numFmtId="0" fontId="4" fillId="0" borderId="2" xfId="0" applyAlignment="1">
      <x:alignment horizontal="center" vertical="center"/>
    </x:xf>
    <x:xf numFmtId="164" fontId="0" fillId="0" borderId="2" xfId="0" applyNumberFormat="1" applyAlignment="1">
      <x:alignment horizontal="right" vertical="center"/>
    </x:xf>
    <x:xf numFmtId="165" fontId="0" fillId="0" borderId="2" xfId="0" applyNumberFormat="1" applyAlignment="1">
      <x:alignment horizontal="right" vertical="center"/>
    </x:xf>
    <x:xf numFmtId="0" fontId="3" fillId="5" borderId="3" xfId="0" applyAlignment="1">
      <x:alignment horizontal="left" vertical="center"/>
    </x:xf>
    <x:xf numFmtId="164" fontId="3" fillId="5" borderId="3" xfId="0" applyNumberFormat="1" applyAlignment="1">
      <x:alignment horizontal="right" vertical="center"/>
    </x:xf>
    <x:xf numFmtId="165" fontId="3" fillId="5" borderId="3" xfId="0" applyNumberFormat="1" applyAlignment="1">
      <x:alignment horizontal="right" vertical="center"/>
    </x:xf>
    <x:xf numFmtId="0" fontId="2" fillId="2" borderId="4" xfId="0" applyAlignment="1">
      <x:alignment horizontal="left" vertical="center"/>
    </x:xf>
    <x:xf numFmtId="164" fontId="2" fillId="2" borderId="4" xfId="0" applyNumberFormat="1" applyAlignment="1">
      <x:alignment horizontal="right" vertical="center"/>
    </x:xf>
    <x:xf numFmtId="165" fontId="2" fillId="2" borderId="4" xfId="0" applyNumberFormat="1" applyAlignment="1">
      <x:alignment horizontal="right" vertical="center"/>
    </x:xf>
    <x:xf numFmtId="0" fontId="4" fillId="0" borderId="0" xfId="0" applyAlignment="1">
      <x:alignment horizontal="left" vertical="center" wrapText="1"/>
    </x:xf>
    <x:xf numFmtId="0" fontId="3" fillId="4" borderId="2" xfId="0" applyAlignment="1">
      <x:alignment horizontal="center" vertical="center"/>
    </x:xf>
    <x:xf numFmtId="0" fontId="0" fillId="0" borderId="2" xfId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79857b60a4d7b" /><Relationship Type="http://schemas.openxmlformats.org/officeDocument/2006/relationships/theme" Target="/xl/theme/theme1.xml" Id="R716fd5b897714b37" /><Relationship Type="http://schemas.openxmlformats.org/officeDocument/2006/relationships/sharedStrings" Target="/xl/sharedStrings.xml" Id="R0155833985bd4f2d" /><Relationship Type="http://schemas.openxmlformats.org/officeDocument/2006/relationships/worksheet" Target="/xl/worksheets/sheet1.xml" Id="Rfb82dca0741d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3" customWidth="1"/>
    <x:col min="2" max="2" width="18" customWidth="1"/>
    <x:col min="3" max="3" width="14" customWidth="1"/>
    <x:col min="4" max="6" width="17" customWidth="1"/>
    <x:col min="7" max="7" width="11" customWidth="1"/>
    <x:col min="8" max="8" width="25" customWidth="1"/>
  </x:cols>
  <x:sheetData>
    <x:row r="1" ht="26" customHeight="1">
      <x:c r="A1" s="1" t="inlineStr">
        <x:is>
          <x:t xml:space="preserve">기 성 집 행 서</x:t>
        </x:is>
      </x:c>
    </x:row>
    <x:row r="2" ht="12" customHeight="1">
      <x:c r="A2"/>
      <x:c r="B2"/>
      <x:c r="C2"/>
      <x:c r="D2"/>
      <x:c r="E2"/>
      <x:c r="F2"/>
      <x:c r="G2"/>
      <x:c r="H2"/>
    </x:row>
    <x:row r="3" ht="22" customHeight="1">
      <x:c r="A3" s="2" t="inlineStr">
        <x:is>
          <x:t xml:space="preserve">프로젝트  P-2026-003 · 평택 자동화설비 구축</x:t>
        </x:is>
      </x:c>
      <x:c r="B3"/>
      <x:c r="C3"/>
      <x:c r="D3"/>
      <x:c r="E3" s="2" t="inlineStr">
        <x:is>
          <x:t xml:space="preserve">버전  v1 · 작성중 · 저장 2026. 08. 06. PM 03:18</x:t>
        </x:is>
      </x:c>
    </x:row>
    <x:row r="4" ht="8" customHeight="1">
      <x:c r="A4"/>
      <x:c r="B4"/>
      <x:c r="C4"/>
      <x:c r="D4"/>
      <x:c r="E4"/>
      <x:c r="F4"/>
      <x:c r="G4"/>
      <x:c r="H4"/>
    </x:row>
    <x:row r="5" ht="21" customHeight="1">
      <x:c r="A5" s="3" t="inlineStr">
        <x:is>
          <x:t xml:space="preserve">계약금액</x:t>
        </x:is>
      </x:c>
      <x:c r="B5" s="3"/>
      <x:c r="C5" s="3" t="inlineStr">
        <x:is>
          <x:t xml:space="preserve">실행예산</x:t>
        </x:is>
      </x:c>
      <x:c r="D5" s="3"/>
      <x:c r="E5" s="3" t="inlineStr">
        <x:is>
          <x:t xml:space="preserve">매입금액</x:t>
        </x:is>
      </x:c>
      <x:c r="F5" s="3"/>
      <x:c r="G5" s="3" t="inlineStr">
        <x:is>
          <x:t xml:space="preserve">예상 이익</x:t>
        </x:is>
      </x:c>
      <x:c r="H5" s="3" t="inlineStr">
        <x:is>
          <x:t xml:space="preserve">예상 이익률</x:t>
        </x:is>
      </x:c>
    </x:row>
    <x:row r="6" ht="25" customHeight="1">
      <x:c r="A6" s="4">
        <x:v>580000000</x:v>
      </x:c>
      <x:c r="B6" s="4"/>
      <x:c r="C6" s="4" t="n">
        <x:f>D23</x:f>
        <x:v>66000000</x:v>
      </x:c>
      <x:c r="D6" s="4"/>
      <x:c r="E6" s="4" t="n">
        <x:f>E23</x:f>
        <x:v>0</x:v>
      </x:c>
      <x:c r="F6" s="4"/>
      <x:c r="G6" s="4">
        <x:v>580000000</x:v>
      </x:c>
      <x:c r="H6" s="5">
        <x:v>1</x:v>
      </x:c>
    </x:row>
    <x:row r="7" ht="8" customHeight="1">
      <x:c r="A7"/>
      <x:c r="B7"/>
      <x:c r="C7"/>
      <x:c r="D7"/>
      <x:c r="E7"/>
      <x:c r="F7"/>
      <x:c r="G7"/>
      <x:c r="H7"/>
    </x:row>
    <x:row r="8" ht="20" customHeight="1">
      <x:c r="A8" s="2" t="inlineStr">
        <x:is>
          <x:t xml:space="preserve">분류별 집행 현황</x:t>
        </x:is>
      </x:c>
    </x:row>
    <x:row r="9" ht="24" customHeight="1">
      <x:c r="A9" s="6" t="inlineStr">
        <x:is>
          <x:t xml:space="preserve">대분류</x:t>
        </x:is>
      </x:c>
      <x:c r="B9" s="6" t="inlineStr">
        <x:is>
          <x:t xml:space="preserve">중분류</x:t>
        </x:is>
      </x:c>
      <x:c r="C9" s="6" t="inlineStr">
        <x:is>
          <x:t xml:space="preserve">연결 품번</x:t>
        </x:is>
      </x:c>
      <x:c r="D9" s="6" t="inlineStr">
        <x:is>
          <x:t xml:space="preserve">실행예산</x:t>
        </x:is>
      </x:c>
      <x:c r="E9" s="6" t="inlineStr">
        <x:is>
          <x:t xml:space="preserve">매입금액 소계</x:t>
        </x:is>
      </x:c>
      <x:c r="F9" s="6" t="inlineStr">
        <x:is>
          <x:t xml:space="preserve">예산잔액</x:t>
        </x:is>
      </x:c>
      <x:c r="G9" s="6" t="inlineStr">
        <x:is>
          <x:t xml:space="preserve">집행률</x:t>
        </x:is>
      </x:c>
      <x:c r="H9" s="6" t="inlineStr">
        <x:is>
          <x:t xml:space="preserve">비고</x:t>
        </x:is>
      </x:c>
    </x:row>
    <x:row r="10" ht="22" customHeight="1">
      <x:c r="A10" s="7" t="inlineStr">
        <x:is>
          <x:t xml:space="preserve">자재비</x:t>
        </x:is>
      </x:c>
      <x:c r="B10" s="8" t="inlineStr">
        <x:is>
          <x:t xml:space="preserve">구매품</x:t>
        </x:is>
      </x:c>
      <x:c r="C10" s="9" t="inlineStr">
        <x:is>
          <x:t xml:space="preserve">2개 품번</x:t>
        </x:is>
      </x:c>
      <x:c r="D10" s="10">
        <x:v>18000000</x:v>
      </x:c>
      <x:c r="E10" s="10">
        <x:v>0</x:v>
      </x:c>
      <x:c r="F10" s="10" t="n">
        <x:f>D10-E10</x:f>
        <x:v>18000000</x:v>
      </x:c>
      <x:c r="G10" s="11" t="n">
        <x:f>IF(D10=0,0,E10/D10)</x:f>
        <x:v>0</x:v>
      </x:c>
      <x:c r="H10" s="8" t="inlineStr">
        <x:is>
          <x:t xml:space="preserve">납기 확인</x:t>
        </x:is>
      </x:c>
    </x:row>
    <x:row r="11" ht="22" customHeight="1">
      <x:c r="A11" s="7"/>
      <x:c r="B11" s="8" t="inlineStr">
        <x:is>
          <x:t xml:space="preserve">배관자재</x:t>
        </x:is>
      </x:c>
      <x:c r="C11" s="9" t="inlineStr">
        <x:is>
          <x:t xml:space="preserve">1개 품번</x:t>
        </x:is>
      </x:c>
      <x:c r="D11" s="10">
        <x:v>9000000</x:v>
      </x:c>
      <x:c r="E11" s="10">
        <x:v>0</x:v>
      </x:c>
      <x:c r="F11" s="10" t="n">
        <x:f>D11-E11</x:f>
        <x:v>9000000</x:v>
      </x:c>
      <x:c r="G11" s="11" t="n">
        <x:f>IF(D11=0,0,E11/D11)</x:f>
        <x:v>0</x:v>
      </x:c>
      <x:c r="H11" s="8"/>
    </x:row>
    <x:row r="12" ht="22" customHeight="1">
      <x:c r="A12" s="7"/>
      <x:c r="B12" s="8" t="inlineStr">
        <x:is>
          <x:t xml:space="preserve">전기자재</x:t>
        </x:is>
      </x:c>
      <x:c r="C12" s="9" t="inlineStr">
        <x:is>
          <x:t xml:space="preserve">1개 품번</x:t>
        </x:is>
      </x:c>
      <x:c r="D12" s="10">
        <x:v>7000000</x:v>
      </x:c>
      <x:c r="E12" s="10">
        <x:v>0</x:v>
      </x:c>
      <x:c r="F12" s="10" t="n">
        <x:f>D12-E12</x:f>
        <x:v>7000000</x:v>
      </x:c>
      <x:c r="G12" s="11" t="n">
        <x:f>IF(D12=0,0,E12/D12)</x:f>
        <x:v>0</x:v>
      </x:c>
      <x:c r="H12" s="8"/>
    </x:row>
    <x:row r="13" ht="23" customHeight="1">
      <x:c r="A13" s="12" t="inlineStr">
        <x:is>
          <x:t xml:space="preserve">자재비 소계 · 중분류 3개</x:t>
        </x:is>
      </x:c>
      <x:c r="B13" s="12"/>
      <x:c r="C13" s="12"/>
      <x:c r="D13" s="13" t="n">
        <x:f>SUM(D10:D12)</x:f>
        <x:v>34000000</x:v>
      </x:c>
      <x:c r="E13" s="13" t="n">
        <x:f>SUM(E10:E12)</x:f>
        <x:v>0</x:v>
      </x:c>
      <x:c r="F13" s="13" t="n">
        <x:f>D13-E13</x:f>
        <x:v>34000000</x:v>
      </x:c>
      <x:c r="G13" s="14" t="n">
        <x:f>IF(D13=0,0,E13/D13)</x:f>
        <x:v>0</x:v>
      </x:c>
      <x:c r="H13" s="12"/>
    </x:row>
    <x:row r="14" ht="22" customHeight="1">
      <x:c r="A14" s="7" t="inlineStr">
        <x:is>
          <x:t xml:space="preserve">제작비</x:t>
        </x:is>
      </x:c>
      <x:c r="B14" s="8" t="inlineStr">
        <x:is>
          <x:t xml:space="preserve">가공비</x:t>
        </x:is>
      </x:c>
      <x:c r="C14" s="9" t="inlineStr">
        <x:is>
          <x:t xml:space="preserve">1개 품번</x:t>
        </x:is>
      </x:c>
      <x:c r="D14" s="10">
        <x:v>12000000</x:v>
      </x:c>
      <x:c r="E14" s="10">
        <x:v>0</x:v>
      </x:c>
      <x:c r="F14" s="10" t="n">
        <x:f>D14-E14</x:f>
        <x:v>12000000</x:v>
      </x:c>
      <x:c r="G14" s="11" t="n">
        <x:f>IF(D14=0,0,E14/D14)</x:f>
        <x:v>0</x:v>
      </x:c>
      <x:c r="H14" s="8"/>
    </x:row>
    <x:row r="15" ht="22" customHeight="1">
      <x:c r="A15" s="7"/>
      <x:c r="B15" s="8" t="inlineStr">
        <x:is>
          <x:t xml:space="preserve">검사/조립</x:t>
        </x:is>
      </x:c>
      <x:c r="C15" s="9" t="inlineStr">
        <x:is>
          <x:t xml:space="preserve">1개 품번</x:t>
        </x:is>
      </x:c>
      <x:c r="D15" s="10">
        <x:v>6000000</x:v>
      </x:c>
      <x:c r="E15" s="10">
        <x:v>0</x:v>
      </x:c>
      <x:c r="F15" s="10" t="n">
        <x:f>D15-E15</x:f>
        <x:v>6000000</x:v>
      </x:c>
      <x:c r="G15" s="11" t="n">
        <x:f>IF(D15=0,0,E15/D15)</x:f>
        <x:v>0</x:v>
      </x:c>
      <x:c r="H15" s="8"/>
    </x:row>
    <x:row r="16" ht="23" customHeight="1">
      <x:c r="A16" s="12" t="inlineStr">
        <x:is>
          <x:t xml:space="preserve">제작비 소계 · 중분류 2개</x:t>
        </x:is>
      </x:c>
      <x:c r="B16" s="12"/>
      <x:c r="C16" s="12"/>
      <x:c r="D16" s="13" t="n">
        <x:f>SUM(D14:D15)</x:f>
        <x:v>18000000</x:v>
      </x:c>
      <x:c r="E16" s="13" t="n">
        <x:f>SUM(E14:E15)</x:f>
        <x:v>0</x:v>
      </x:c>
      <x:c r="F16" s="13" t="n">
        <x:f>D16-E16</x:f>
        <x:v>18000000</x:v>
      </x:c>
      <x:c r="G16" s="14" t="n">
        <x:f>IF(D16=0,0,E16/D16)</x:f>
        <x:v>0</x:v>
      </x:c>
      <x:c r="H16" s="12"/>
    </x:row>
    <x:row r="17" ht="22" customHeight="1">
      <x:c r="A17" s="7" t="inlineStr">
        <x:is>
          <x:t xml:space="preserve">현장비</x:t>
        </x:is>
      </x:c>
      <x:c r="B17" s="8" t="inlineStr">
        <x:is>
          <x:t xml:space="preserve">설치비</x:t>
        </x:is>
      </x:c>
      <x:c r="C17" s="9" t="inlineStr">
        <x:is>
          <x:t xml:space="preserve">1개 품번</x:t>
        </x:is>
      </x:c>
      <x:c r="D17" s="10">
        <x:v>5000000</x:v>
      </x:c>
      <x:c r="E17" s="10">
        <x:v>0</x:v>
      </x:c>
      <x:c r="F17" s="10" t="n">
        <x:f>D17-E17</x:f>
        <x:v>5000000</x:v>
      </x:c>
      <x:c r="G17" s="11" t="n">
        <x:f>IF(D17=0,0,E17/D17)</x:f>
        <x:v>0</x:v>
      </x:c>
      <x:c r="H17" s="8"/>
    </x:row>
    <x:row r="18" ht="22" customHeight="1">
      <x:c r="A18" s="7"/>
      <x:c r="B18" s="8" t="inlineStr">
        <x:is>
          <x:t xml:space="preserve">시운전비</x:t>
        </x:is>
      </x:c>
      <x:c r="C18" s="9" t="inlineStr">
        <x:is>
          <x:t xml:space="preserve">1개 품번</x:t>
        </x:is>
      </x:c>
      <x:c r="D18" s="10">
        <x:v>3000000</x:v>
      </x:c>
      <x:c r="E18" s="10">
        <x:v>0</x:v>
      </x:c>
      <x:c r="F18" s="10" t="n">
        <x:f>D18-E18</x:f>
        <x:v>3000000</x:v>
      </x:c>
      <x:c r="G18" s="11" t="n">
        <x:f>IF(D18=0,0,E18/D18)</x:f>
        <x:v>0</x:v>
      </x:c>
      <x:c r="H18" s="8"/>
    </x:row>
    <x:row r="19" ht="22" customHeight="1">
      <x:c r="A19" s="7"/>
      <x:c r="B19" s="8" t="inlineStr">
        <x:is>
          <x:t xml:space="preserve">포장/운반비</x:t>
        </x:is>
      </x:c>
      <x:c r="C19" s="9" t="inlineStr">
        <x:is>
          <x:t xml:space="preserve">1개 품번</x:t>
        </x:is>
      </x:c>
      <x:c r="D19" s="10">
        <x:v>4000000</x:v>
      </x:c>
      <x:c r="E19" s="10">
        <x:v>0</x:v>
      </x:c>
      <x:c r="F19" s="10" t="n">
        <x:f>D19-E19</x:f>
        <x:v>4000000</x:v>
      </x:c>
      <x:c r="G19" s="11" t="n">
        <x:f>IF(D19=0,0,E19/D19)</x:f>
        <x:v>0</x:v>
      </x:c>
      <x:c r="H19" s="8"/>
    </x:row>
    <x:row r="20" ht="23" customHeight="1">
      <x:c r="A20" s="12" t="inlineStr">
        <x:is>
          <x:t xml:space="preserve">현장비 소계 · 중분류 3개</x:t>
        </x:is>
      </x:c>
      <x:c r="B20" s="12"/>
      <x:c r="C20" s="12"/>
      <x:c r="D20" s="13" t="n">
        <x:f>SUM(D17:D19)</x:f>
        <x:v>12000000</x:v>
      </x:c>
      <x:c r="E20" s="13" t="n">
        <x:f>SUM(E17:E19)</x:f>
        <x:v>0</x:v>
      </x:c>
      <x:c r="F20" s="13" t="n">
        <x:f>D20-E20</x:f>
        <x:v>12000000</x:v>
      </x:c>
      <x:c r="G20" s="14" t="n">
        <x:f>IF(D20=0,0,E20/D20)</x:f>
        <x:v>0</x:v>
      </x:c>
      <x:c r="H20" s="12"/>
    </x:row>
    <x:row r="21" ht="22" customHeight="1">
      <x:c r="A21" s="7" t="inlineStr">
        <x:is>
          <x:t xml:space="preserve">관리비</x:t>
        </x:is>
      </x:c>
      <x:c r="B21" s="8" t="inlineStr">
        <x:is>
          <x:t xml:space="preserve">PM 관리비</x:t>
        </x:is>
      </x:c>
      <x:c r="C21" s="9" t="inlineStr">
        <x:is>
          <x:t xml:space="preserve">1개 품번</x:t>
        </x:is>
      </x:c>
      <x:c r="D21" s="10">
        <x:v>2000000</x:v>
      </x:c>
      <x:c r="E21" s="10">
        <x:v>0</x:v>
      </x:c>
      <x:c r="F21" s="10" t="n">
        <x:f>D21-E21</x:f>
        <x:v>2000000</x:v>
      </x:c>
      <x:c r="G21" s="11" t="n">
        <x:f>IF(D21=0,0,E21/D21)</x:f>
        <x:v>0</x:v>
      </x:c>
      <x:c r="H21" s="8"/>
    </x:row>
    <x:row r="22" ht="23" customHeight="1">
      <x:c r="A22" s="12" t="inlineStr">
        <x:is>
          <x:t xml:space="preserve">관리비 소계 · 중분류 1개</x:t>
        </x:is>
      </x:c>
      <x:c r="B22" s="12"/>
      <x:c r="C22" s="12"/>
      <x:c r="D22" s="13" t="n">
        <x:f>SUM(D21:D21)</x:f>
        <x:v>2000000</x:v>
      </x:c>
      <x:c r="E22" s="13" t="n">
        <x:f>SUM(E21:E21)</x:f>
        <x:v>0</x:v>
      </x:c>
      <x:c r="F22" s="13" t="n">
        <x:f>D22-E22</x:f>
        <x:v>2000000</x:v>
      </x:c>
      <x:c r="G22" s="14" t="n">
        <x:f>IF(D22=0,0,E22/D22)</x:f>
        <x:v>0</x:v>
      </x:c>
      <x:c r="H22" s="12"/>
    </x:row>
    <x:row r="23" ht="25" customHeight="1">
      <x:c r="A23" s="15" t="inlineStr">
        <x:is>
          <x:t xml:space="preserve">전체 합계</x:t>
        </x:is>
      </x:c>
      <x:c r="B23" s="15"/>
      <x:c r="C23" s="15"/>
      <x:c r="D23" s="16" t="n">
        <x:f>D13+D16+D20+D22</x:f>
        <x:v>66000000</x:v>
      </x:c>
      <x:c r="E23" s="16" t="n">
        <x:f>E13+E16+E20+E22</x:f>
        <x:v>0</x:v>
      </x:c>
      <x:c r="F23" s="16" t="n">
        <x:f>D23-E23</x:f>
        <x:v>66000000</x:v>
      </x:c>
      <x:c r="G23" s="17" t="n">
        <x:f>IF(D23=0,0,E23/D23)</x:f>
        <x:v>0</x:v>
      </x:c>
      <x:c r="H23" s="15"/>
    </x:row>
    <x:row r="25" ht="20" customHeight="1">
      <x:c r="A25" s="18" t="inlineStr">
        <x:is>
          <x:t xml:space="preserve">기준: 저장된 스냅샷 v1 · 생성 2026. 08. 06. PM 03:21 · 연결 품번은 건수만 표기</x:t>
        </x:is>
      </x:c>
    </x:row>
    <x:row r="27" ht="20" customHeight="1">
      <x:c r="A27" s="18" t="inlineStr">
        <x:is>
          <x:t xml:space="preserve">본 보고서는 아마란스10 입고 공급가액을 기준으로 작성되었습니다.</x:t>
        </x:is>
      </x:c>
      <x:c r="B27" s="18"/>
      <x:c r="C27" s="18"/>
      <x:c r="D27" s="18"/>
      <x:c r="E27" s="19" t="inlineStr">
        <x:is>
          <x:t xml:space="preserve">작성</x:t>
        </x:is>
      </x:c>
      <x:c r="F27" s="19" t="inlineStr">
        <x:is>
          <x:t xml:space="preserve">검토</x:t>
        </x:is>
      </x:c>
      <x:c r="G27" s="19" t="inlineStr">
        <x:is>
          <x:t xml:space="preserve">승인</x:t>
        </x:is>
      </x:c>
      <x:c r="H27" s="19"/>
    </x:row>
    <x:row r="28" ht="38" customHeight="1">
      <x:c r="A28" s="18"/>
      <x:c r="B28" s="18"/>
      <x:c r="C28" s="18"/>
      <x:c r="D28" s="18"/>
      <x:c r="E28" s="20"/>
      <x:c r="F28" s="20"/>
      <x:c r="G28" s="20"/>
      <x:c r="H28" s="20"/>
    </x:row>
  </x:sheetData>
  <x:mergeCells>
    <x:mergeCell ref="A1:H2"/>
    <x:mergeCell ref="A3:D3"/>
    <x:mergeCell ref="E3:H3"/>
    <x:mergeCell ref="A5:B5"/>
    <x:mergeCell ref="C5:D5"/>
    <x:mergeCell ref="E5:F5"/>
    <x:mergeCell ref="A6:B6"/>
    <x:mergeCell ref="C6:D6"/>
    <x:mergeCell ref="E6:F6"/>
    <x:mergeCell ref="A8:H8"/>
    <x:mergeCell ref="A10:A12"/>
    <x:mergeCell ref="A13:C13"/>
    <x:mergeCell ref="A14:A15"/>
    <x:mergeCell ref="A16:C16"/>
    <x:mergeCell ref="A17:A19"/>
    <x:mergeCell ref="A20:C20"/>
    <x:mergeCell ref="A22:C22"/>
    <x:mergeCell ref="A23:C23"/>
    <x:mergeCell ref="A25:H25"/>
    <x:mergeCell ref="A27:D28"/>
  </x:mergeCells>
  <x:pageMargins left="0.7" right="0.7" top="0.75" bottom="0.75" header="0.3" footer="0.3"/>
</x:worksheet>
</file>